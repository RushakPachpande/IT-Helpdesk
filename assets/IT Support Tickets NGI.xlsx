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ickets" sheetId="2" state="visible" r:id="rId2"/>
    <sheet name="Configuration" sheetId="3" state="visible" r:id="rId3"/>
    <sheet name="Categories" sheetId="4" state="visible" r:id="rId4"/>
    <sheet name="Users" sheetId="5" state="visible" r:id="rId5"/>
    <sheet name="Audit Log" sheetId="6" state="visible" r:id="rId6"/>
    <sheet name="Reports" sheetId="7" state="visible" r:id="rId7"/>
  </sheets>
  <definedNames>
    <definedName name="SLA_High">Configuration!$B$8</definedName>
    <definedName name="SLA_Medium">Configuration!$B$9</definedName>
    <definedName name="SLA_Low">Configuration!$B$10</definedName>
    <definedName name="List_Categories">'Categories'!$A$2:$A$9</definedName>
    <definedName name="List_Engineers">'Users'!$A$2:$A$5</definedName>
    <definedName name="List_Status">'Users'!$F$2:$F$7</definedName>
    <definedName name="List_Priority">'Users'!$G$2:$G$4</definedName>
    <definedName name="List_Department">'Users'!$H$2:$H$9</definedName>
    <definedName name="List_Escalation">'Users'!$I$2:$I$5</definedName>
    <definedName name="List_Resolution">'Users'!$J$2:$J$10</definedName>
    <definedName name="List_ClosureReason">'Users'!$K$2:$K$7</definedName>
    <definedName name="List_ProcessingStage">'Users'!$L$2:$L$5</definedName>
    <definedName name="List_AckSent">'Users'!$M$2:$M$3</definedName>
    <definedName name="List_AIPriority">'Users'!$N$2:$N$5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0056B3"/>
      <sz val="16"/>
    </font>
    <font>
      <name val="Calibri"/>
      <b val="1"/>
      <color rgb="00FFFFFF"/>
      <sz val="11"/>
    </font>
    <font>
      <name val="Calibri"/>
      <b val="1"/>
      <color rgb="001E293B"/>
      <sz val="12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0056B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" fontId="0" fillId="0" borderId="1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dxfs count="7"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BBF7D0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871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strRef>
              <f>'Dashboard'!$D$4:$D$9</f>
            </strRef>
          </cat>
          <val>
            <numRef>
              <f>'Dashboard'!$E$4:$E$9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'Dashboard'!H3</f>
            </strRef>
          </tx>
          <spPr>
            <a:ln>
              <a:prstDash val="solid"/>
            </a:ln>
          </spPr>
          <cat>
            <strRef>
              <f>'Dashboard'!$G$4:$G$6</f>
            </strRef>
          </cat>
          <val>
            <numRef>
              <f>'Dashboard'!$H$4:$H$6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14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TTickets" displayName="ITTickets" ref="A1:AF4" headerRowCount="1">
  <autoFilter ref="A1:AF4"/>
  <tableColumns count="32">
    <tableColumn id="1" name="Ticket ID"/>
    <tableColumn id="2" name="Created Date"/>
    <tableColumn id="3" name="Created Time"/>
    <tableColumn id="4" name="Requester Name"/>
    <tableColumn id="5" name="Requester Email"/>
    <tableColumn id="6" name="CC Emails"/>
    <tableColumn id="7" name="Subject"/>
    <tableColumn id="8" name="Email Body"/>
    <tableColumn id="9" name="Priority"/>
    <tableColumn id="10" name="Category"/>
    <tableColumn id="11" name="Department"/>
    <tableColumn id="12" name="Status"/>
    <tableColumn id="13" name="Assigned Engineer"/>
    <tableColumn id="14" name="Conversation ID"/>
    <tableColumn id="15" name="Internet Message ID"/>
    <tableColumn id="16" name="Conversation Index"/>
    <tableColumn id="17" name="Message Id"/>
    <tableColumn id="18" name="Folder"/>
    <tableColumn id="19" name="Last Updated"/>
    <tableColumn id="20" name="Closed Date"/>
    <tableColumn id="21" name="Resolution Notes"/>
    <tableColumn id="22" name="Internal Remarks"/>
    <tableColumn id="23" name="Escalation Level"/>
    <tableColumn id="24" name="Resolution"/>
    <tableColumn id="25" name="Closure Reason"/>
    <tableColumn id="26" name="Processing Stage"/>
    <tableColumn id="27" name="Ack Sent"/>
    <tableColumn id="28" name="AI Issue Summary"/>
    <tableColumn id="29" name="AI Priority"/>
    <tableColumn id="30" name="AI Scope"/>
    <tableColumn id="31" name="Ticket Age Days"/>
    <tableColumn id="32" name="SLA Remaining 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Log" displayName="AuditLog" ref="A1:F2" headerRowCount="1">
  <autoFilter ref="A1:F2"/>
  <tableColumns count="6">
    <tableColumn id="1" name="Timestamp"/>
    <tableColumn id="2" name="Event"/>
    <tableColumn id="3" name="Ticket ID"/>
    <tableColumn id="4" name="Conversation ID"/>
    <tableColumn id="5" name="Message Id"/>
    <tableColumn id="6" name="Detai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4" customWidth="1" min="4" max="4"/>
    <col width="42" customWidth="1" min="5" max="5"/>
    <col width="12" customWidth="1" min="6" max="6"/>
    <col width="12" customWidth="1" min="7" max="7"/>
    <col width="41" customWidth="1" min="8" max="8"/>
  </cols>
  <sheetData>
    <row r="1">
      <c r="A1" s="1" t="inlineStr">
        <is>
          <t>IT Support — Operations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D3" s="3" t="inlineStr">
        <is>
          <t>Status</t>
        </is>
      </c>
      <c r="E3" s="3" t="inlineStr">
        <is>
          <t>Count</t>
        </is>
      </c>
      <c r="G3" s="3" t="inlineStr">
        <is>
          <t>Priority</t>
        </is>
      </c>
      <c r="H3" s="3" t="inlineStr">
        <is>
          <t>Count</t>
        </is>
      </c>
    </row>
    <row r="4">
      <c r="A4" s="4" t="inlineStr">
        <is>
          <t>Total Tickets</t>
        </is>
      </c>
      <c r="B4" s="5">
        <f>COUNTA(Tickets!$A$2:$A$5000)</f>
        <v/>
      </c>
      <c r="D4" s="4" t="inlineStr">
        <is>
          <t>New</t>
        </is>
      </c>
      <c r="E4" s="4">
        <f>COUNTIF(Tickets!$L$2:$L$5000,"New")</f>
        <v/>
      </c>
      <c r="G4" s="4" t="inlineStr">
        <is>
          <t>High</t>
        </is>
      </c>
      <c r="H4" s="4">
        <f>COUNTIF(Tickets!$I$2:$I$5000,"High")</f>
        <v/>
      </c>
    </row>
    <row r="5">
      <c r="A5" s="4" t="inlineStr">
        <is>
          <t>Open (New+Open)</t>
        </is>
      </c>
      <c r="B5" s="5">
        <f>COUNTIF(Tickets!$L$2:$L$5000,"New")+COUNTIF(Tickets!$L$2:$L$5000,"Open")</f>
        <v/>
      </c>
      <c r="D5" s="4" t="inlineStr">
        <is>
          <t>Open</t>
        </is>
      </c>
      <c r="E5" s="4">
        <f>COUNTIF(Tickets!$L$2:$L$5000,"Open")</f>
        <v/>
      </c>
      <c r="G5" s="4" t="inlineStr">
        <is>
          <t>Medium</t>
        </is>
      </c>
      <c r="H5" s="4">
        <f>COUNTIF(Tickets!$I$2:$I$5000,"Medium")</f>
        <v/>
      </c>
    </row>
    <row r="6">
      <c r="A6" s="4" t="inlineStr">
        <is>
          <t>In Progress</t>
        </is>
      </c>
      <c r="B6" s="5">
        <f>COUNTIF(Tickets!$L$2:$L$5000,"In Progress")</f>
        <v/>
      </c>
      <c r="D6" s="4" t="inlineStr">
        <is>
          <t>In Progress</t>
        </is>
      </c>
      <c r="E6" s="4">
        <f>COUNTIF(Tickets!$L$2:$L$5000,"In Progress")</f>
        <v/>
      </c>
      <c r="G6" s="4" t="inlineStr">
        <is>
          <t>Low</t>
        </is>
      </c>
      <c r="H6" s="4">
        <f>COUNTIF(Tickets!$I$2:$I$5000,"Low")</f>
        <v/>
      </c>
    </row>
    <row r="7">
      <c r="A7" s="4" t="inlineStr">
        <is>
          <t>Pending</t>
        </is>
      </c>
      <c r="B7" s="5">
        <f>COUNTIF(Tickets!$L$2:$L$5000,"Pending")</f>
        <v/>
      </c>
      <c r="D7" s="4" t="inlineStr">
        <is>
          <t>Pending</t>
        </is>
      </c>
      <c r="E7" s="4">
        <f>COUNTIF(Tickets!$L$2:$L$5000,"Pending")</f>
        <v/>
      </c>
    </row>
    <row r="8">
      <c r="A8" s="4" t="inlineStr">
        <is>
          <t>Needs Review</t>
        </is>
      </c>
      <c r="B8" s="5">
        <f>COUNTIF(Tickets!$L$2:$L$5000,"Needs Review")</f>
        <v/>
      </c>
      <c r="D8" s="4" t="inlineStr">
        <is>
          <t>Needs Review</t>
        </is>
      </c>
      <c r="E8" s="4">
        <f>COUNTIF(Tickets!$L$2:$L$5000,"Needs Review")</f>
        <v/>
      </c>
    </row>
    <row r="9">
      <c r="A9" s="4" t="inlineStr">
        <is>
          <t>Closed</t>
        </is>
      </c>
      <c r="B9" s="5">
        <f>COUNTIF(Tickets!$L$2:$L$5000,"Closed")</f>
        <v/>
      </c>
      <c r="D9" s="4" t="inlineStr">
        <is>
          <t>Closed</t>
        </is>
      </c>
      <c r="E9" s="4">
        <f>COUNTIF(Tickets!$L$2:$L$5000,"Closed")</f>
        <v/>
      </c>
    </row>
    <row r="10">
      <c r="A10" s="4" t="inlineStr">
        <is>
          <t>High Priority Open</t>
        </is>
      </c>
      <c r="B10" s="5">
        <f>COUNTIFS(Tickets!$I$2:$I$5000,"High",Tickets!$L$2:$L$5000,"&lt;&gt;Closed")</f>
        <v/>
      </c>
    </row>
    <row r="11">
      <c r="A11" s="4" t="inlineStr">
        <is>
          <t>Unassigned</t>
        </is>
      </c>
      <c r="B11" s="5">
        <f>COUNTIF(Tickets!$M$2:$M$5000,"Unassigned")</f>
        <v/>
      </c>
    </row>
    <row r="12">
      <c r="A12" s="4" t="inlineStr">
        <is>
          <t>Avg Age (Open Days)</t>
        </is>
      </c>
      <c r="B12" s="5">
        <f>IFERROR(AVERAGEIF(Tickets!$L$2:$L$5000,"&lt;&gt;Closed",Tickets!$AE$2:$AE$5000),0)</f>
        <v/>
      </c>
    </row>
    <row r="13"/>
    <row r="14"/>
    <row r="15"/>
    <row r="16"/>
    <row r="17"/>
    <row r="18"/>
    <row r="19"/>
    <row r="20"/>
    <row r="21"/>
    <row r="22"/>
    <row r="23"/>
    <row r="24"/>
    <row r="25">
      <c r="A25" s="6" t="inlineStr">
        <is>
          <t>Engineer Workload (non-closed)</t>
        </is>
      </c>
    </row>
    <row r="26">
      <c r="A26" s="2" t="inlineStr">
        <is>
          <t>Engineer</t>
        </is>
      </c>
      <c r="B26" s="2" t="inlineStr">
        <is>
          <t>Open Tickets</t>
        </is>
      </c>
    </row>
    <row r="27">
      <c r="A27" s="4" t="inlineStr">
        <is>
          <t>Unassigned</t>
        </is>
      </c>
      <c r="B27" s="4">
        <f>COUNTIFS(Tickets!$M$2:$M$5000,A27,Tickets!$L$2:$L$5000,"&lt;&gt;Closed")</f>
        <v/>
      </c>
    </row>
    <row r="28">
      <c r="A28" s="4" t="inlineStr">
        <is>
          <t>Rushak Pachpande</t>
        </is>
      </c>
      <c r="B28" s="4">
        <f>COUNTIFS(Tickets!$M$2:$M$5000,A28,Tickets!$L$2:$L$5000,"&lt;&gt;Closed")</f>
        <v/>
      </c>
    </row>
    <row r="29">
      <c r="A29" s="4" t="inlineStr">
        <is>
          <t>IT Engineer 1</t>
        </is>
      </c>
      <c r="B29" s="4">
        <f>COUNTIFS(Tickets!$M$2:$M$5000,A29,Tickets!$L$2:$L$5000,"&lt;&gt;Closed")</f>
        <v/>
      </c>
    </row>
    <row r="30">
      <c r="A30" s="4" t="inlineStr">
        <is>
          <t>IT Engineer 2</t>
        </is>
      </c>
      <c r="B30" s="4">
        <f>COUNTIFS(Tickets!$M$2:$M$5000,A30,Tickets!$L$2:$L$5000,"&lt;&gt;Closed")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6" customWidth="1" min="4" max="4"/>
    <col width="32" customWidth="1" min="5" max="5"/>
    <col width="27" customWidth="1" min="6" max="6"/>
    <col width="36" customWidth="1" min="7" max="7"/>
    <col width="48" customWidth="1" min="8" max="8"/>
    <col width="12" customWidth="1" min="9" max="9"/>
    <col width="12" customWidth="1" min="10" max="10"/>
    <col width="13" customWidth="1" min="11" max="11"/>
    <col width="13" customWidth="1" min="12" max="12"/>
    <col width="19" customWidth="1" min="13" max="13"/>
    <col width="21" customWidth="1" min="14" max="14"/>
    <col width="35" customWidth="1" min="15" max="15"/>
    <col width="20" customWidth="1" min="16" max="16"/>
    <col width="20" customWidth="1" min="17" max="17"/>
    <col width="14" customWidth="1" min="18" max="18"/>
    <col width="21" customWidth="1" min="19" max="19"/>
    <col width="21" customWidth="1" min="20" max="20"/>
    <col width="28" customWidth="1" min="21" max="21"/>
    <col width="28" customWidth="1" min="22" max="22"/>
    <col width="18" customWidth="1" min="23" max="23"/>
    <col width="19" customWidth="1" min="24" max="24"/>
    <col width="16" customWidth="1" min="25" max="25"/>
    <col width="18" customWidth="1" min="26" max="26"/>
    <col width="12" customWidth="1" min="27" max="27"/>
    <col width="40" customWidth="1" min="28" max="28"/>
    <col width="13" customWidth="1" min="29" max="29"/>
    <col width="28" customWidth="1" min="30" max="30"/>
    <col width="42" customWidth="1" min="31" max="31"/>
    <col width="42" customWidth="1" min="32" max="32"/>
  </cols>
  <sheetData>
    <row r="1" ht="30" customHeight="1">
      <c r="A1" s="2" t="inlineStr">
        <is>
          <t>Ticket ID</t>
        </is>
      </c>
      <c r="B1" s="2" t="inlineStr">
        <is>
          <t>Created Date</t>
        </is>
      </c>
      <c r="C1" s="2" t="inlineStr">
        <is>
          <t>Created Time</t>
        </is>
      </c>
      <c r="D1" s="2" t="inlineStr">
        <is>
          <t>Requester Name</t>
        </is>
      </c>
      <c r="E1" s="2" t="inlineStr">
        <is>
          <t>Requester Email</t>
        </is>
      </c>
      <c r="F1" s="2" t="inlineStr">
        <is>
          <t>CC Emails</t>
        </is>
      </c>
      <c r="G1" s="2" t="inlineStr">
        <is>
          <t>Subject</t>
        </is>
      </c>
      <c r="H1" s="2" t="inlineStr">
        <is>
          <t>Email Body</t>
        </is>
      </c>
      <c r="I1" s="2" t="inlineStr">
        <is>
          <t>Priority</t>
        </is>
      </c>
      <c r="J1" s="2" t="inlineStr">
        <is>
          <t>Category</t>
        </is>
      </c>
      <c r="K1" s="2" t="inlineStr">
        <is>
          <t>Department</t>
        </is>
      </c>
      <c r="L1" s="2" t="inlineStr">
        <is>
          <t>Status</t>
        </is>
      </c>
      <c r="M1" s="2" t="inlineStr">
        <is>
          <t>Assigned Engineer</t>
        </is>
      </c>
      <c r="N1" s="2" t="inlineStr">
        <is>
          <t>Conversation ID</t>
        </is>
      </c>
      <c r="O1" s="2" t="inlineStr">
        <is>
          <t>Internet Message ID</t>
        </is>
      </c>
      <c r="P1" s="2" t="inlineStr">
        <is>
          <t>Conversation Index</t>
        </is>
      </c>
      <c r="Q1" s="2" t="inlineStr">
        <is>
          <t>Message Id</t>
        </is>
      </c>
      <c r="R1" s="2" t="inlineStr">
        <is>
          <t>Folder</t>
        </is>
      </c>
      <c r="S1" s="2" t="inlineStr">
        <is>
          <t>Last Updated</t>
        </is>
      </c>
      <c r="T1" s="2" t="inlineStr">
        <is>
          <t>Closed Date</t>
        </is>
      </c>
      <c r="U1" s="2" t="inlineStr">
        <is>
          <t>Resolution Notes</t>
        </is>
      </c>
      <c r="V1" s="2" t="inlineStr">
        <is>
          <t>Internal Remarks</t>
        </is>
      </c>
      <c r="W1" s="2" t="inlineStr">
        <is>
          <t>Escalation Level</t>
        </is>
      </c>
      <c r="X1" s="2" t="inlineStr">
        <is>
          <t>Resolution</t>
        </is>
      </c>
      <c r="Y1" s="2" t="inlineStr">
        <is>
          <t>Closure Reason</t>
        </is>
      </c>
      <c r="Z1" s="2" t="inlineStr">
        <is>
          <t>Processing Stage</t>
        </is>
      </c>
      <c r="AA1" s="2" t="inlineStr">
        <is>
          <t>Ack Sent</t>
        </is>
      </c>
      <c r="AB1" s="2" t="inlineStr">
        <is>
          <t>AI Issue Summary</t>
        </is>
      </c>
      <c r="AC1" s="2" t="inlineStr">
        <is>
          <t>AI Priority</t>
        </is>
      </c>
      <c r="AD1" s="2" t="inlineStr">
        <is>
          <t>AI Scope</t>
        </is>
      </c>
      <c r="AE1" s="2" t="inlineStr">
        <is>
          <t>Ticket Age Days</t>
        </is>
      </c>
      <c r="AF1" s="2" t="inlineStr">
        <is>
          <t>SLA Remaining Hours</t>
        </is>
      </c>
    </row>
    <row r="2">
      <c r="A2" s="7" t="inlineStr">
        <is>
          <t>NGI-310726-A7K9</t>
        </is>
      </c>
      <c r="B2" s="8" t="n">
        <v>46233</v>
      </c>
      <c r="C2" s="7" t="inlineStr">
        <is>
          <t>09:15 AM</t>
        </is>
      </c>
      <c r="D2" s="7" t="inlineStr">
        <is>
          <t>Priya Sharma</t>
        </is>
      </c>
      <c r="E2" s="7" t="inlineStr">
        <is>
          <t>priya.sharma@nextgeninnov8.com</t>
        </is>
      </c>
      <c r="F2" s="7" t="inlineStr">
        <is>
          <t>manager@nextgeninnov8.com</t>
        </is>
      </c>
      <c r="G2" s="9" t="inlineStr">
        <is>
          <t>Cannot access VPN</t>
        </is>
      </c>
      <c r="H2" s="9" t="inlineStr">
        <is>
          <t>VPN client fails with error 809 after Windows update.</t>
        </is>
      </c>
      <c r="I2" s="7" t="inlineStr">
        <is>
          <t>High</t>
        </is>
      </c>
      <c r="J2" s="7" t="inlineStr">
        <is>
          <t>Network</t>
        </is>
      </c>
      <c r="K2" s="7" t="inlineStr">
        <is>
          <t>Engineering</t>
        </is>
      </c>
      <c r="L2" s="7" t="inlineStr">
        <is>
          <t>Open</t>
        </is>
      </c>
      <c r="M2" s="7" t="inlineStr">
        <is>
          <t>Rushak Pachpande</t>
        </is>
      </c>
      <c r="N2" s="7" t="inlineStr">
        <is>
          <t>AAQkAGSampleConv001</t>
        </is>
      </c>
      <c r="O2" s="7" t="inlineStr">
        <is>
          <t>&lt;msg-sample-001@mail.outlook.com&gt;</t>
        </is>
      </c>
      <c r="P2" s="7" t="inlineStr"/>
      <c r="Q2" s="7" t="inlineStr">
        <is>
          <t>AAMkAGSampleMsg001</t>
        </is>
      </c>
      <c r="R2" s="7" t="inlineStr">
        <is>
          <t>Open Tickets</t>
        </is>
      </c>
      <c r="S2" s="8" t="n">
        <v>46234</v>
      </c>
      <c r="T2" s="7" t="n"/>
      <c r="U2" s="9" t="inlineStr"/>
      <c r="V2" s="9" t="inlineStr">
        <is>
          <t>Waiting on firewall team</t>
        </is>
      </c>
      <c r="W2" s="7" t="inlineStr">
        <is>
          <t>L1</t>
        </is>
      </c>
      <c r="X2" s="7" t="inlineStr"/>
      <c r="Y2" s="7" t="inlineStr"/>
      <c r="Z2" s="7" t="inlineStr">
        <is>
          <t>Complete</t>
        </is>
      </c>
      <c r="AA2" s="7" t="inlineStr">
        <is>
          <t>Yes</t>
        </is>
      </c>
      <c r="AB2" s="9" t="inlineStr">
        <is>
          <t>VPN connection fails with error 809 after a Windows update.</t>
        </is>
      </c>
      <c r="AC2" s="7" t="inlineStr">
        <is>
          <t>High</t>
        </is>
      </c>
      <c r="AD2" s="9" t="inlineStr">
        <is>
          <t>VPN client / Engineering user Priya Sharma</t>
        </is>
      </c>
      <c r="AE2" s="10">
        <f>IF(A2="","",IF(L2="Closed",IF(T2="",0,MAX(0,T2-B2)),MAX(0,TODAY()-B2)))</f>
        <v/>
      </c>
      <c r="AF2" s="11">
        <f>IF(OR(A2="",L2="Closed"),"",IF(I2="High",SLA_High,IF(I2="Low",SLA_Low,SLA_Medium))-AE2*24)</f>
        <v/>
      </c>
    </row>
    <row r="3">
      <c r="A3" s="7" t="inlineStr">
        <is>
          <t>NGI-300726-4PXM</t>
        </is>
      </c>
      <c r="B3" s="8" t="n">
        <v>46232</v>
      </c>
      <c r="C3" s="7" t="inlineStr">
        <is>
          <t>02:40 PM</t>
        </is>
      </c>
      <c r="D3" s="7" t="inlineStr">
        <is>
          <t>Amit Patel</t>
        </is>
      </c>
      <c r="E3" s="7" t="inlineStr">
        <is>
          <t>amit.patel@nextgeninnov8.com</t>
        </is>
      </c>
      <c r="F3" s="7" t="inlineStr"/>
      <c r="G3" s="9" t="inlineStr">
        <is>
          <t>Outlook search not working</t>
        </is>
      </c>
      <c r="H3" s="9" t="inlineStr">
        <is>
          <t>Search returns no results for recent emails.</t>
        </is>
      </c>
      <c r="I3" s="7" t="inlineStr">
        <is>
          <t>Medium</t>
        </is>
      </c>
      <c r="J3" s="7" t="inlineStr">
        <is>
          <t>Email</t>
        </is>
      </c>
      <c r="K3" s="7" t="inlineStr">
        <is>
          <t>Sales</t>
        </is>
      </c>
      <c r="L3" s="7" t="inlineStr">
        <is>
          <t>In Progress</t>
        </is>
      </c>
      <c r="M3" s="7" t="inlineStr">
        <is>
          <t>IT Engineer 1</t>
        </is>
      </c>
      <c r="N3" s="7" t="inlineStr">
        <is>
          <t>AAQkAGSampleConv002</t>
        </is>
      </c>
      <c r="O3" s="7" t="inlineStr">
        <is>
          <t>&lt;msg-sample-002@mail.outlook.com&gt;</t>
        </is>
      </c>
      <c r="P3" s="7" t="inlineStr"/>
      <c r="Q3" s="7" t="inlineStr">
        <is>
          <t>AAMkAGSampleMsg002</t>
        </is>
      </c>
      <c r="R3" s="7" t="inlineStr">
        <is>
          <t>Open Tickets</t>
        </is>
      </c>
      <c r="S3" s="8" t="n">
        <v>46235</v>
      </c>
      <c r="T3" s="7" t="n"/>
      <c r="U3" s="9" t="inlineStr"/>
      <c r="V3" s="9" t="inlineStr">
        <is>
          <t>Rebuilding Outlook index</t>
        </is>
      </c>
      <c r="W3" s="7" t="inlineStr">
        <is>
          <t>L1</t>
        </is>
      </c>
      <c r="X3" s="7" t="inlineStr"/>
      <c r="Y3" s="7" t="inlineStr"/>
      <c r="Z3" s="7" t="inlineStr">
        <is>
          <t>Complete</t>
        </is>
      </c>
      <c r="AA3" s="7" t="inlineStr">
        <is>
          <t>Yes</t>
        </is>
      </c>
      <c r="AB3" s="9" t="inlineStr">
        <is>
          <t>Outlook search returns no results for recent mail.</t>
        </is>
      </c>
      <c r="AC3" s="7" t="inlineStr">
        <is>
          <t>Medium</t>
        </is>
      </c>
      <c r="AD3" s="9" t="inlineStr">
        <is>
          <t>Outlook / Sales user Amit Patel</t>
        </is>
      </c>
      <c r="AE3" s="10">
        <f>IF(A3="","",IF(L3="Closed",IF(T3="",0,MAX(0,T3-B3)),MAX(0,TODAY()-B3)))</f>
        <v/>
      </c>
      <c r="AF3" s="11">
        <f>IF(OR(A3="",L3="Closed"),"",IF(I3="High",SLA_High,IF(I3="Low",SLA_Low,SLA_Medium))-AE3*24)</f>
        <v/>
      </c>
    </row>
    <row r="4">
      <c r="A4" s="7" t="inlineStr">
        <is>
          <t>NGI-280726-X2Q8</t>
        </is>
      </c>
      <c r="B4" s="8" t="n">
        <v>46230</v>
      </c>
      <c r="C4" s="7" t="inlineStr">
        <is>
          <t>11:05 AM</t>
        </is>
      </c>
      <c r="D4" s="7" t="inlineStr">
        <is>
          <t>Neha Gupta</t>
        </is>
      </c>
      <c r="E4" s="7" t="inlineStr">
        <is>
          <t>neha.gupta@nextgeninnov8.com</t>
        </is>
      </c>
      <c r="F4" s="7" t="inlineStr">
        <is>
          <t>hr@nextgeninnov8.com</t>
        </is>
      </c>
      <c r="G4" s="9" t="inlineStr">
        <is>
          <t>New laptop setup request</t>
        </is>
      </c>
      <c r="H4" s="9" t="inlineStr">
        <is>
          <t>Need Windows 11 laptop setup for new joiner starting Monday.</t>
        </is>
      </c>
      <c r="I4" s="7" t="inlineStr">
        <is>
          <t>Low</t>
        </is>
      </c>
      <c r="J4" s="7" t="inlineStr">
        <is>
          <t>Hardware</t>
        </is>
      </c>
      <c r="K4" s="7" t="inlineStr">
        <is>
          <t>HR</t>
        </is>
      </c>
      <c r="L4" s="7" t="inlineStr">
        <is>
          <t>Closed</t>
        </is>
      </c>
      <c r="M4" s="7" t="inlineStr">
        <is>
          <t>IT Engineer 2</t>
        </is>
      </c>
      <c r="N4" s="7" t="inlineStr">
        <is>
          <t>AAQkAGSampleConv003</t>
        </is>
      </c>
      <c r="O4" s="7" t="inlineStr">
        <is>
          <t>&lt;msg-sample-003@mail.outlook.com&gt;</t>
        </is>
      </c>
      <c r="P4" s="7" t="inlineStr"/>
      <c r="Q4" s="7" t="inlineStr">
        <is>
          <t>AAMkAGSampleMsg003</t>
        </is>
      </c>
      <c r="R4" s="7" t="inlineStr">
        <is>
          <t>Processed</t>
        </is>
      </c>
      <c r="S4" s="8" t="n">
        <v>46234</v>
      </c>
      <c r="T4" s="8" t="n">
        <v>46234</v>
      </c>
      <c r="U4" s="9" t="inlineStr">
        <is>
          <t>Laptop imaged and delivered</t>
        </is>
      </c>
      <c r="V4" s="9" t="inlineStr"/>
      <c r="W4" s="7" t="inlineStr">
        <is>
          <t>L1</t>
        </is>
      </c>
      <c r="X4" s="7" t="inlineStr">
        <is>
          <t>Resolved - Onsite</t>
        </is>
      </c>
      <c r="Y4" s="7" t="inlineStr">
        <is>
          <t>Completed</t>
        </is>
      </c>
      <c r="Z4" s="7" t="inlineStr">
        <is>
          <t>Complete</t>
        </is>
      </c>
      <c r="AA4" s="7" t="inlineStr">
        <is>
          <t>Yes</t>
        </is>
      </c>
      <c r="AB4" s="9" t="inlineStr">
        <is>
          <t>Request for Windows 11 laptop setup for a new joiner.</t>
        </is>
      </c>
      <c r="AC4" s="7" t="inlineStr">
        <is>
          <t>Low</t>
        </is>
      </c>
      <c r="AD4" s="9" t="inlineStr">
        <is>
          <t>Laptop / HR new joiner</t>
        </is>
      </c>
      <c r="AE4" s="10">
        <f>IF(A4="","",IF(L4="Closed",IF(T4="",0,MAX(0,T4-B4)),MAX(0,TODAY()-B4)))</f>
        <v/>
      </c>
      <c r="AF4" s="11">
        <f>IF(OR(A4="",L4="Closed"),"",IF(I4="High",SLA_High,IF(I4="Low",SLA_Low,SLA_Medium))-AE4*24)</f>
        <v/>
      </c>
    </row>
  </sheetData>
  <conditionalFormatting sqref="L2:L5000">
    <cfRule type="cellIs" priority="1" operator="equal" dxfId="0">
      <formula>"Open"</formula>
    </cfRule>
    <cfRule type="cellIs" priority="2" operator="equal" dxfId="0">
      <formula>"New"</formula>
    </cfRule>
    <cfRule type="cellIs" priority="3" operator="equal" dxfId="1">
      <formula>"Needs Review"</formula>
    </cfRule>
    <cfRule type="cellIs" priority="4" operator="equal" dxfId="2">
      <formula>"In Progress"</formula>
    </cfRule>
    <cfRule type="cellIs" priority="5" operator="equal" dxfId="3">
      <formula>"Pending"</formula>
    </cfRule>
    <cfRule type="cellIs" priority="6" operator="equal" dxfId="4">
      <formula>"Closed"</formula>
    </cfRule>
  </conditionalFormatting>
  <conditionalFormatting sqref="I2:I5000">
    <cfRule type="cellIs" priority="7" operator="equal" dxfId="5">
      <formula>"High"</formula>
    </cfRule>
  </conditionalFormatting>
  <conditionalFormatting sqref="M2:M5000">
    <cfRule type="cellIs" priority="8" operator="equal" dxfId="1">
      <formula>"Unassigned"</formula>
    </cfRule>
  </conditionalFormatting>
  <conditionalFormatting sqref="AF2:AF5000">
    <cfRule type="cellIs" priority="9" operator="lessThan" dxfId="6">
      <formula>0</formula>
    </cfRule>
  </conditionalFormatting>
  <dataValidations count="11">
    <dataValidation sqref="I2:I5000" showDropDown="0" showInputMessage="0" showErrorMessage="1" allowBlank="1" errorTitle="Invalid value" error="Please select a value from the dropdown list." type="list">
      <formula1>=List_Priority</formula1>
    </dataValidation>
    <dataValidation sqref="J2:J5000" showDropDown="0" showInputMessage="0" showErrorMessage="1" allowBlank="1" errorTitle="Invalid value" error="Please select a value from the dropdown list." type="list">
      <formula1>=List_Categories</formula1>
    </dataValidation>
    <dataValidation sqref="K2:K5000" showDropDown="0" showInputMessage="0" showErrorMessage="1" allowBlank="1" errorTitle="Invalid value" error="Please select a value from the dropdown list." type="list">
      <formula1>=List_Department</formula1>
    </dataValidation>
    <dataValidation sqref="L2:L5000" showDropDown="0" showInputMessage="0" showErrorMessage="1" allowBlank="1" errorTitle="Invalid value" error="Please select a value from the dropdown list." type="list">
      <formula1>=List_Status</formula1>
    </dataValidation>
    <dataValidation sqref="M2:M5000" showDropDown="0" showInputMessage="0" showErrorMessage="1" allowBlank="1" errorTitle="Invalid value" error="Please select a value from the dropdown list." type="list">
      <formula1>=List_Engineers</formula1>
    </dataValidation>
    <dataValidation sqref="W2:W5000" showDropDown="0" showInputMessage="0" showErrorMessage="1" allowBlank="1" errorTitle="Invalid value" error="Please select a value from the dropdown list." type="list">
      <formula1>=List_Escalation</formula1>
    </dataValidation>
    <dataValidation sqref="X2:X5000" showDropDown="0" showInputMessage="0" showErrorMessage="1" allowBlank="1" errorTitle="Invalid value" error="Please select a value from the dropdown list." type="list">
      <formula1>=List_Resolution</formula1>
    </dataValidation>
    <dataValidation sqref="Y2:Y5000" showDropDown="0" showInputMessage="0" showErrorMessage="1" allowBlank="1" errorTitle="Invalid value" error="Please select a value from the dropdown list." type="list">
      <formula1>=List_ClosureReason</formula1>
    </dataValidation>
    <dataValidation sqref="Z2:Z5000" showDropDown="0" showInputMessage="0" showErrorMessage="1" allowBlank="1" errorTitle="Invalid value" error="Please select a value from the dropdown list." type="list">
      <formula1>=List_ProcessingStage</formula1>
    </dataValidation>
    <dataValidation sqref="AA2:AA5000" showDropDown="0" showInputMessage="0" showErrorMessage="1" allowBlank="1" errorTitle="Invalid value" error="Please select a value from the dropdown list." type="list">
      <formula1>=List_AckSent</formula1>
    </dataValidation>
    <dataValidation sqref="AC2:AC5000" showDropDown="0" showInputMessage="0" showErrorMessage="1" allowBlank="1" errorTitle="Invalid value" error="Please select a value from the dropdown list." type="list">
      <formula1>=List_AIPriority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IT Support Ticketing — Configuration</t>
        </is>
      </c>
    </row>
    <row r="2"/>
    <row r="3">
      <c r="A3" s="2" t="inlineStr">
        <is>
          <t>Setting</t>
        </is>
      </c>
      <c r="B3" s="2" t="inlineStr">
        <is>
          <t>Value</t>
        </is>
      </c>
    </row>
    <row r="4">
      <c r="A4" s="4" t="inlineStr">
        <is>
          <t>Company Prefix</t>
        </is>
      </c>
      <c r="B4" s="4" t="inlineStr">
        <is>
          <t>NGI</t>
        </is>
      </c>
    </row>
    <row r="5">
      <c r="A5" s="4" t="inlineStr">
        <is>
          <t>Support Mailbox</t>
        </is>
      </c>
      <c r="B5" s="4" t="inlineStr">
        <is>
          <t>itsupport@nextgeninnov8.com</t>
        </is>
      </c>
    </row>
    <row r="6">
      <c r="A6" s="4" t="inlineStr">
        <is>
          <t>Admin Alert Email</t>
        </is>
      </c>
      <c r="B6" s="4" t="inlineStr">
        <is>
          <t>it-admin@nextgeninnov8.com</t>
        </is>
      </c>
    </row>
    <row r="7">
      <c r="A7" s="4" t="inlineStr">
        <is>
          <t>Expected Response Hours</t>
        </is>
      </c>
      <c r="B7" s="4" t="n">
        <v>24</v>
      </c>
    </row>
    <row r="8">
      <c r="A8" s="4" t="inlineStr">
        <is>
          <t>SLA High Hours</t>
        </is>
      </c>
      <c r="B8" s="4" t="n">
        <v>4</v>
      </c>
    </row>
    <row r="9">
      <c r="A9" s="4" t="inlineStr">
        <is>
          <t>SLA Medium Hours</t>
        </is>
      </c>
      <c r="B9" s="4" t="n">
        <v>24</v>
      </c>
    </row>
    <row r="10">
      <c r="A10" s="4" t="inlineStr">
        <is>
          <t>SLA Low Hours</t>
        </is>
      </c>
      <c r="B10" s="4" t="n">
        <v>72</v>
      </c>
    </row>
    <row r="11">
      <c r="A11" s="4" t="inlineStr">
        <is>
          <t>Ack Expected Response Text</t>
        </is>
      </c>
      <c r="B11" s="4" t="inlineStr">
        <is>
          <t>Our support team will follow up on this thread within 1 business day.</t>
        </is>
      </c>
    </row>
    <row r="12">
      <c r="A12" s="4" t="inlineStr">
        <is>
          <t>Timezone</t>
        </is>
      </c>
      <c r="B12" s="4" t="inlineStr">
        <is>
          <t>Asia/Kolkata</t>
        </is>
      </c>
    </row>
    <row r="13">
      <c r="A13" s="4" t="inlineStr">
        <is>
          <t>Workbook Version</t>
        </is>
      </c>
      <c r="B13" s="4" t="inlineStr">
        <is>
          <t>2.0</t>
        </is>
      </c>
    </row>
    <row r="14">
      <c r="A14" s="4" t="inlineStr">
        <is>
          <t>Generated At</t>
        </is>
      </c>
      <c r="B14" s="4" t="inlineStr">
        <is>
          <t>2026-08-01 01:10:46</t>
        </is>
      </c>
    </row>
    <row r="15"/>
    <row r="16">
      <c r="A16" s="6" t="inlineStr">
        <is>
          <t>Notes</t>
        </is>
      </c>
    </row>
    <row r="17">
      <c r="A17" s="12" t="inlineStr">
        <is>
          <t>Upload this workbook to OneDrive/SharePoint under the IT Support account. In n8n Excel nodes, reselect this workbook and the ITTickets / AuditLog tables after upload (workbook and table IDs are tenant-specific). CreatedDate / ClosedDate are real Excel dates (display dd-mm-yyyy). Processing Stage / Ack Sent enable fault-tolerant resume; AI columns hold LLM summaries. Outlook folders: Inbox, Open Tickets, Processed.</t>
        </is>
      </c>
    </row>
    <row r="18"/>
    <row r="19"/>
  </sheetData>
  <mergeCells count="2">
    <mergeCell ref="A17:B19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2" t="inlineStr">
        <is>
          <t>Category</t>
        </is>
      </c>
    </row>
    <row r="2">
      <c r="A2" s="4" t="inlineStr">
        <is>
          <t>Hardware</t>
        </is>
      </c>
    </row>
    <row r="3">
      <c r="A3" s="4" t="inlineStr">
        <is>
          <t>Software</t>
        </is>
      </c>
    </row>
    <row r="4">
      <c r="A4" s="4" t="inlineStr">
        <is>
          <t>Network</t>
        </is>
      </c>
    </row>
    <row r="5">
      <c r="A5" s="4" t="inlineStr">
        <is>
          <t>Email</t>
        </is>
      </c>
    </row>
    <row r="6">
      <c r="A6" s="4" t="inlineStr">
        <is>
          <t>Access / Accounts</t>
        </is>
      </c>
    </row>
    <row r="7">
      <c r="A7" s="4" t="inlineStr">
        <is>
          <t>Security</t>
        </is>
      </c>
    </row>
    <row r="8">
      <c r="A8" s="4" t="inlineStr">
        <is>
          <t>Printer</t>
        </is>
      </c>
    </row>
    <row r="9">
      <c r="A9" s="4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27" customWidth="1" min="10" max="10"/>
    <col width="23" customWidth="1" min="11" max="11"/>
    <col width="21" customWidth="1" min="12" max="12"/>
    <col width="13" customWidth="1" min="13" max="13"/>
    <col width="16" customWidth="1" min="14" max="14"/>
  </cols>
  <sheetData>
    <row r="1">
      <c r="A1" s="2" t="inlineStr">
        <is>
          <t>DisplayName</t>
        </is>
      </c>
      <c r="B1" s="2" t="inlineStr">
        <is>
          <t>Email</t>
        </is>
      </c>
      <c r="C1" s="2" t="inlineStr">
        <is>
          <t>Role</t>
        </is>
      </c>
      <c r="D1" s="2" t="inlineStr">
        <is>
          <t>Active</t>
        </is>
      </c>
      <c r="F1" t="inlineStr">
        <is>
          <t>StatusList</t>
        </is>
      </c>
      <c r="G1" t="inlineStr">
        <is>
          <t>PriorityList</t>
        </is>
      </c>
      <c r="H1" t="inlineStr">
        <is>
          <t>DepartmentList</t>
        </is>
      </c>
      <c r="I1" t="inlineStr">
        <is>
          <t>EscalationList</t>
        </is>
      </c>
      <c r="J1" t="inlineStr">
        <is>
          <t>ResolutionList</t>
        </is>
      </c>
      <c r="K1" t="inlineStr">
        <is>
          <t>ClosureReasonList</t>
        </is>
      </c>
      <c r="L1" t="inlineStr">
        <is>
          <t>ProcessingStageList</t>
        </is>
      </c>
      <c r="M1" t="inlineStr">
        <is>
          <t>AckSentList</t>
        </is>
      </c>
      <c r="N1" t="inlineStr">
        <is>
          <t>AIPriorityList</t>
        </is>
      </c>
    </row>
    <row r="2">
      <c r="A2" s="4" t="inlineStr">
        <is>
          <t>Rushak Pachpande</t>
        </is>
      </c>
      <c r="B2" s="4" t="inlineStr">
        <is>
          <t>rushak@nextgeninnov8.com</t>
        </is>
      </c>
      <c r="C2" s="4" t="inlineStr">
        <is>
          <t>Lead</t>
        </is>
      </c>
      <c r="D2" s="4" t="inlineStr">
        <is>
          <t>Yes</t>
        </is>
      </c>
      <c r="F2" t="inlineStr">
        <is>
          <t>New</t>
        </is>
      </c>
      <c r="G2" t="inlineStr">
        <is>
          <t>High</t>
        </is>
      </c>
      <c r="H2" t="inlineStr">
        <is>
          <t>IT</t>
        </is>
      </c>
      <c r="I2" t="inlineStr">
        <is>
          <t>L1</t>
        </is>
      </c>
      <c r="J2" t="inlineStr">
        <is>
          <t>Resolved - User Assisted</t>
        </is>
      </c>
      <c r="K2" t="inlineStr">
        <is>
          <t>Completed</t>
        </is>
      </c>
      <c r="L2" t="inlineStr">
        <is>
          <t>Created</t>
        </is>
      </c>
      <c r="M2" t="inlineStr">
        <is>
          <t>Yes</t>
        </is>
      </c>
      <c r="N2" t="inlineStr">
        <is>
          <t>Critical</t>
        </is>
      </c>
    </row>
    <row r="3">
      <c r="A3" s="4" t="inlineStr">
        <is>
          <t>IT Engineer 1</t>
        </is>
      </c>
      <c r="B3" s="4" t="inlineStr">
        <is>
          <t>engineer1@nextgeninnov8.com</t>
        </is>
      </c>
      <c r="C3" s="4" t="inlineStr">
        <is>
          <t>Engineer</t>
        </is>
      </c>
      <c r="D3" s="4" t="inlineStr">
        <is>
          <t>Yes</t>
        </is>
      </c>
      <c r="F3" t="inlineStr">
        <is>
          <t>Open</t>
        </is>
      </c>
      <c r="G3" t="inlineStr">
        <is>
          <t>Medium</t>
        </is>
      </c>
      <c r="H3" t="inlineStr">
        <is>
          <t>HR</t>
        </is>
      </c>
      <c r="I3" t="inlineStr">
        <is>
          <t>L2</t>
        </is>
      </c>
      <c r="J3" t="inlineStr">
        <is>
          <t>Resolved - Remote Fix</t>
        </is>
      </c>
      <c r="K3" t="inlineStr">
        <is>
          <t>Cancelled by User</t>
        </is>
      </c>
      <c r="L3" t="inlineStr">
        <is>
          <t>Acked</t>
        </is>
      </c>
      <c r="M3" t="inlineStr">
        <is>
          <t>No</t>
        </is>
      </c>
      <c r="N3" t="inlineStr">
        <is>
          <t>High</t>
        </is>
      </c>
    </row>
    <row r="4">
      <c r="A4" s="4" t="inlineStr">
        <is>
          <t>IT Engineer 2</t>
        </is>
      </c>
      <c r="B4" s="4" t="inlineStr">
        <is>
          <t>engineer2@nextgeninnov8.com</t>
        </is>
      </c>
      <c r="C4" s="4" t="inlineStr">
        <is>
          <t>Engineer</t>
        </is>
      </c>
      <c r="D4" s="4" t="inlineStr">
        <is>
          <t>Yes</t>
        </is>
      </c>
      <c r="F4" t="inlineStr">
        <is>
          <t>In Progress</t>
        </is>
      </c>
      <c r="G4" t="inlineStr">
        <is>
          <t>Low</t>
        </is>
      </c>
      <c r="H4" t="inlineStr">
        <is>
          <t>Finance</t>
        </is>
      </c>
      <c r="I4" t="inlineStr">
        <is>
          <t>L3</t>
        </is>
      </c>
      <c r="J4" t="inlineStr">
        <is>
          <t>Resolved - Onsite</t>
        </is>
      </c>
      <c r="K4" t="inlineStr">
        <is>
          <t>Duplicate Ticket</t>
        </is>
      </c>
      <c r="L4" t="inlineStr">
        <is>
          <t>Complete</t>
        </is>
      </c>
      <c r="N4" t="inlineStr">
        <is>
          <t>Medium</t>
        </is>
      </c>
    </row>
    <row r="5">
      <c r="A5" s="4" t="inlineStr">
        <is>
          <t>Unassigned</t>
        </is>
      </c>
      <c r="B5" s="4" t="inlineStr"/>
      <c r="C5" s="4" t="inlineStr">
        <is>
          <t>Placeholder</t>
        </is>
      </c>
      <c r="D5" s="4" t="inlineStr">
        <is>
          <t>Yes</t>
        </is>
      </c>
      <c r="F5" t="inlineStr">
        <is>
          <t>Pending</t>
        </is>
      </c>
      <c r="H5" t="inlineStr">
        <is>
          <t>Sales</t>
        </is>
      </c>
      <c r="I5" t="inlineStr">
        <is>
          <t>Management</t>
        </is>
      </c>
      <c r="J5" t="inlineStr">
        <is>
          <t>Resolved - Password Reset</t>
        </is>
      </c>
      <c r="K5" t="inlineStr">
        <is>
          <t>No Response from User</t>
        </is>
      </c>
      <c r="L5" t="inlineStr">
        <is>
          <t>NeedsReview</t>
        </is>
      </c>
      <c r="N5" t="inlineStr">
        <is>
          <t>Low</t>
        </is>
      </c>
    </row>
    <row r="6">
      <c r="F6" t="inlineStr">
        <is>
          <t>Needs Review</t>
        </is>
      </c>
      <c r="H6" t="inlineStr">
        <is>
          <t>Operations</t>
        </is>
      </c>
      <c r="J6" t="inlineStr">
        <is>
          <t>Resolved - Access Granted</t>
        </is>
      </c>
      <c r="K6" t="inlineStr">
        <is>
          <t>Out of Scope</t>
        </is>
      </c>
    </row>
    <row r="7">
      <c r="F7" t="inlineStr">
        <is>
          <t>Closed</t>
        </is>
      </c>
      <c r="H7" t="inlineStr">
        <is>
          <t>Marketing</t>
        </is>
      </c>
      <c r="J7" t="inlineStr">
        <is>
          <t>Duplicate</t>
        </is>
      </c>
      <c r="K7" t="inlineStr">
        <is>
          <t>Other</t>
        </is>
      </c>
    </row>
    <row r="8">
      <c r="H8" t="inlineStr">
        <is>
          <t>Engineering</t>
        </is>
      </c>
      <c r="J8" t="inlineStr">
        <is>
          <t>Not Reproducible</t>
        </is>
      </c>
    </row>
    <row r="9">
      <c r="H9" t="inlineStr">
        <is>
          <t>Other</t>
        </is>
      </c>
      <c r="J9" t="inlineStr">
        <is>
          <t>Escalated Externally</t>
        </is>
      </c>
    </row>
    <row r="10">
      <c r="J10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1" customWidth="1" min="4" max="4"/>
    <col width="20" customWidth="1" min="5" max="5"/>
    <col width="37" customWidth="1" min="6" max="6"/>
  </cols>
  <sheetData>
    <row r="1">
      <c r="A1" s="2" t="inlineStr">
        <is>
          <t>Timestamp</t>
        </is>
      </c>
      <c r="B1" s="2" t="inlineStr">
        <is>
          <t>Event</t>
        </is>
      </c>
      <c r="C1" s="2" t="inlineStr">
        <is>
          <t>Ticket ID</t>
        </is>
      </c>
      <c r="D1" s="2" t="inlineStr">
        <is>
          <t>Conversation ID</t>
        </is>
      </c>
      <c r="E1" s="2" t="inlineStr">
        <is>
          <t>Message Id</t>
        </is>
      </c>
      <c r="F1" s="2" t="inlineStr">
        <is>
          <t>Detail</t>
        </is>
      </c>
    </row>
    <row r="2">
      <c r="A2" s="4" t="inlineStr">
        <is>
          <t>2026-08-01 01:10:46</t>
        </is>
      </c>
      <c r="B2" s="4" t="inlineStr">
        <is>
          <t>ticket_created</t>
        </is>
      </c>
      <c r="C2" s="4" t="inlineStr">
        <is>
          <t>NGI-310726-A7K9</t>
        </is>
      </c>
      <c r="D2" s="4" t="inlineStr">
        <is>
          <t>AAQkAGSampleConv001</t>
        </is>
      </c>
      <c r="E2" s="4" t="inlineStr">
        <is>
          <t>AAMkAGSampleMsg001</t>
        </is>
      </c>
      <c r="F2" s="4" t="inlineStr">
        <is>
          <t>Sample audit entry — safe to delete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Monthly / Trend Reports</t>
        </is>
      </c>
    </row>
    <row r="2"/>
    <row r="3">
      <c r="A3" s="6" t="inlineStr">
        <is>
          <t>Category Statistics</t>
        </is>
      </c>
      <c r="D3" s="6" t="inlineStr">
        <is>
          <t>Department Statistics</t>
        </is>
      </c>
    </row>
    <row r="4">
      <c r="A4" s="2" t="inlineStr">
        <is>
          <t>Category</t>
        </is>
      </c>
      <c r="B4" s="2" t="inlineStr">
        <is>
          <t>Ticket Count</t>
        </is>
      </c>
      <c r="D4" s="13" t="inlineStr">
        <is>
          <t>Department</t>
        </is>
      </c>
      <c r="E4" s="13" t="inlineStr">
        <is>
          <t>Ticket Count</t>
        </is>
      </c>
    </row>
    <row r="5">
      <c r="A5" s="4" t="inlineStr">
        <is>
          <t>Hardware</t>
        </is>
      </c>
      <c r="B5" s="4">
        <f>COUNTIF(Tickets!$J$2:$J$5000,A5)</f>
        <v/>
      </c>
      <c r="D5" s="4" t="inlineStr">
        <is>
          <t>IT</t>
        </is>
      </c>
      <c r="E5" s="4">
        <f>COUNTIF(Tickets!$K$2:$K$5000,D5)</f>
        <v/>
      </c>
    </row>
    <row r="6">
      <c r="A6" s="4" t="inlineStr">
        <is>
          <t>Software</t>
        </is>
      </c>
      <c r="B6" s="4">
        <f>COUNTIF(Tickets!$J$2:$J$5000,A6)</f>
        <v/>
      </c>
      <c r="D6" s="4" t="inlineStr">
        <is>
          <t>HR</t>
        </is>
      </c>
      <c r="E6" s="4">
        <f>COUNTIF(Tickets!$K$2:$K$5000,D6)</f>
        <v/>
      </c>
    </row>
    <row r="7">
      <c r="A7" s="4" t="inlineStr">
        <is>
          <t>Network</t>
        </is>
      </c>
      <c r="B7" s="4">
        <f>COUNTIF(Tickets!$J$2:$J$5000,A7)</f>
        <v/>
      </c>
      <c r="D7" s="4" t="inlineStr">
        <is>
          <t>Finance</t>
        </is>
      </c>
      <c r="E7" s="4">
        <f>COUNTIF(Tickets!$K$2:$K$5000,D7)</f>
        <v/>
      </c>
    </row>
    <row r="8">
      <c r="A8" s="4" t="inlineStr">
        <is>
          <t>Email</t>
        </is>
      </c>
      <c r="B8" s="4">
        <f>COUNTIF(Tickets!$J$2:$J$5000,A8)</f>
        <v/>
      </c>
      <c r="D8" s="4" t="inlineStr">
        <is>
          <t>Sales</t>
        </is>
      </c>
      <c r="E8" s="4">
        <f>COUNTIF(Tickets!$K$2:$K$5000,D8)</f>
        <v/>
      </c>
    </row>
    <row r="9">
      <c r="A9" s="4" t="inlineStr">
        <is>
          <t>Access / Accounts</t>
        </is>
      </c>
      <c r="B9" s="4">
        <f>COUNTIF(Tickets!$J$2:$J$5000,A9)</f>
        <v/>
      </c>
      <c r="D9" s="4" t="inlineStr">
        <is>
          <t>Operations</t>
        </is>
      </c>
      <c r="E9" s="4">
        <f>COUNTIF(Tickets!$K$2:$K$5000,D9)</f>
        <v/>
      </c>
    </row>
    <row r="10">
      <c r="A10" s="4" t="inlineStr">
        <is>
          <t>Security</t>
        </is>
      </c>
      <c r="B10" s="4">
        <f>COUNTIF(Tickets!$J$2:$J$5000,A10)</f>
        <v/>
      </c>
      <c r="D10" s="4" t="inlineStr">
        <is>
          <t>Marketing</t>
        </is>
      </c>
      <c r="E10" s="4">
        <f>COUNTIF(Tickets!$K$2:$K$5000,D10)</f>
        <v/>
      </c>
    </row>
    <row r="11">
      <c r="A11" s="4" t="inlineStr">
        <is>
          <t>Printer</t>
        </is>
      </c>
      <c r="B11" s="4">
        <f>COUNTIF(Tickets!$J$2:$J$5000,A11)</f>
        <v/>
      </c>
      <c r="D11" s="4" t="inlineStr">
        <is>
          <t>Engineering</t>
        </is>
      </c>
      <c r="E11" s="4">
        <f>COUNTIF(Tickets!$K$2:$K$5000,D11)</f>
        <v/>
      </c>
    </row>
    <row r="12">
      <c r="A12" s="4" t="inlineStr">
        <is>
          <t>Other</t>
        </is>
      </c>
      <c r="B12" s="4">
        <f>COUNTIF(Tickets!$J$2:$J$5000,A12)</f>
        <v/>
      </c>
      <c r="D12" s="4" t="inlineStr">
        <is>
          <t>Other</t>
        </is>
      </c>
      <c r="E12" s="4">
        <f>COUNTIF(Tickets!$K$2:$K$5000,D12)</f>
        <v/>
      </c>
    </row>
    <row r="13"/>
    <row r="14"/>
    <row r="15"/>
    <row r="16">
      <c r="A16" s="6" t="inlineStr">
        <is>
          <t>Closed / Open totals</t>
        </is>
      </c>
    </row>
    <row r="17">
      <c r="A17" t="inlineStr">
        <is>
          <t>Note: CreatedDate is a real Excel date — filter or pivot by month as needed.</t>
        </is>
      </c>
    </row>
    <row r="18">
      <c r="A18" t="inlineStr">
        <is>
          <t>Closed Count (all time)</t>
        </is>
      </c>
      <c r="B18">
        <f>COUNTIF(Tickets!$L$2:$L$5000,"Closed")</f>
        <v/>
      </c>
    </row>
    <row r="19">
      <c r="A19" t="inlineStr">
        <is>
          <t>Open Count (all non-closed)</t>
        </is>
      </c>
      <c r="B19">
        <f>COUNTA(Tickets!$A$2:$A$5000)-COUNTIF(Tickets!$L$2:$L$5000,"Closed")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2026-07-31T19:40:46Z</dcterms:created>
  <dcterms:modified xsi:type="dcterms:W3CDTF">2026-07-31T19:40:46Z</dcterms:modified>
</cp:coreProperties>
</file>